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e5a94825995cce8/Documents/"/>
    </mc:Choice>
  </mc:AlternateContent>
  <xr:revisionPtr revIDLastSave="4" documentId="13_ncr:1_{47509FB4-9738-4F12-8F84-99FF83662E64}" xr6:coauthVersionLast="47" xr6:coauthVersionMax="47" xr10:uidLastSave="{0193BFE0-2940-457B-B153-85CA4AE91DFE}"/>
  <bookViews>
    <workbookView xWindow="-120" yWindow="-120" windowWidth="38640" windowHeight="23520" xr2:uid="{00000000-000D-0000-FFFF-FFFF00000000}"/>
  </bookViews>
  <sheets>
    <sheet name="Hoja1" sheetId="1" r:id="rId1"/>
    <sheet name="Hoja2" sheetId="2" r:id="rId2"/>
  </sheets>
  <definedNames>
    <definedName name="_xlnm.Print_Area" localSheetId="0">Hoja1!$B$2:$I$135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8" i="1"/>
  <c r="N7" i="1"/>
  <c r="N11" i="1"/>
  <c r="T10" i="1"/>
  <c r="Q10" i="1"/>
  <c r="N10" i="1"/>
  <c r="T9" i="1"/>
  <c r="Q9" i="1"/>
  <c r="N9" i="1"/>
  <c r="T8" i="1"/>
  <c r="Q8" i="1"/>
  <c r="Q7" i="1"/>
  <c r="T5" i="1" l="1"/>
  <c r="Q5" i="1"/>
</calcChain>
</file>

<file path=xl/sharedStrings.xml><?xml version="1.0" encoding="utf-8"?>
<sst xmlns="http://schemas.openxmlformats.org/spreadsheetml/2006/main" count="84" uniqueCount="35">
  <si>
    <t>1 DE 6</t>
  </si>
  <si>
    <t>RELACIÓN DE TRABAJOS ENTREGADOS</t>
  </si>
  <si>
    <t>FECHA:</t>
  </si>
  <si>
    <t>EMPRESAS/CONTRIBUYENTE</t>
  </si>
  <si>
    <t>FACTURA/NOTA</t>
  </si>
  <si>
    <t>NUMERO</t>
  </si>
  <si>
    <t>TOTAL</t>
  </si>
  <si>
    <t>FECHA DE ENTREGA</t>
  </si>
  <si>
    <t>QUIEN ENTREGÓ</t>
  </si>
  <si>
    <t>REFERENCIA</t>
  </si>
  <si>
    <t>OBSERVACIONES</t>
  </si>
  <si>
    <t>SUMA DEL DÍA</t>
  </si>
  <si>
    <t>Efectivo Total</t>
  </si>
  <si>
    <t>Transferencia Total</t>
  </si>
  <si>
    <t>Cheque Total</t>
  </si>
  <si>
    <t>Efectivo Nota</t>
  </si>
  <si>
    <t>Transferencia Nota</t>
  </si>
  <si>
    <t>Efectivo Maria</t>
  </si>
  <si>
    <t>Transferencia Maria</t>
  </si>
  <si>
    <t>Cheque Maria</t>
  </si>
  <si>
    <t>Efectivo Jose</t>
  </si>
  <si>
    <t>Transferencia Jose</t>
  </si>
  <si>
    <t>Cheque Jose</t>
  </si>
  <si>
    <t>Efectivo Victor</t>
  </si>
  <si>
    <t>Transferencia Victor</t>
  </si>
  <si>
    <t>Cheque Victor</t>
  </si>
  <si>
    <t>Efectivo Recibo</t>
  </si>
  <si>
    <t>2 DE 6</t>
  </si>
  <si>
    <t>NOTA</t>
  </si>
  <si>
    <t xml:space="preserve">                      </t>
  </si>
  <si>
    <t>/</t>
  </si>
  <si>
    <t>3 DE 6</t>
  </si>
  <si>
    <t>4 DE 6</t>
  </si>
  <si>
    <t>5 DE 6</t>
  </si>
  <si>
    <t>6 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</si>
</sst>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_-[$$-80A]* #,##0.00_-;\-[$$-80A]* #,##0.00_-;_-[$$-80A]* &quot;-&quot;??_-;_-@_-"/>
  </numFmts>
  <fonts count="22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65"/>
      <color theme="1"/>
      <name val="Calibri"/>
      <family val="2"/>
      <scheme val="minor"/>
    </font>
    <font>
      <sz val="20"/>
      <color theme="1"/>
      <name val="Calibri"/>
      <scheme val="minor"/>
    </font>
    <font>
      <sz val="24"/>
      <color theme="1"/>
      <name val="Calibri"/>
      <scheme val="minor"/>
    </font>
    <font>
      <u/>
      <sz val="20"/>
      <color theme="1"/>
      <name val="Calibri"/>
      <scheme val="minor"/>
    </font>
    <font>
      <sz val="26"/>
      <color theme="1"/>
      <name val="Calibri"/>
      <family val="2"/>
      <scheme val="minor"/>
    </font>
    <font>
      <u/>
      <sz val="24"/>
      <color theme="1"/>
      <name val="Calibri"/>
      <scheme val="minor"/>
    </font>
    <font>
      <sz val="24"/>
      <color rgb="FF242424"/>
      <name val="Aptos Narrow"/>
      <charset val="1"/>
    </font>
    <font>
      <u/>
      <sz val="24"/>
      <color theme="1"/>
      <name val="Calibri"/>
      <family val="2"/>
      <scheme val="minor"/>
    </font>
    <font>
      <u/>
      <sz val="24"/>
      <color rgb="FF000000"/>
      <name val="Calibri"/>
      <family val="2"/>
    </font>
    <font>
      <sz val="24"/>
      <color rgb="FF242424"/>
      <name val="Aptos Narrow"/>
      <family val="2"/>
    </font>
    <font>
      <sz val="24"/>
      <color rgb="FF000000"/>
      <name val="Calibri"/>
      <family val="2"/>
    </font>
    <font>
      <sz val="20"/>
      <color rgb="FF000000"/>
      <name val="Calibri"/>
      <family val="2"/>
    </font>
    <font>
      <sz val="24"/>
      <color rgb="FF000000"/>
      <name val="Calibri"/>
    </font>
    <font>
      <sz val="18"/>
      <color rgb="FF000000"/>
      <name val="15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164" fontId="2" fillId="0" borderId="0" xfId="0" applyNumberFormat="1" applyFont="1"/>
    <xf numFmtId="0" fontId="9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5" fontId="3" fillId="0" borderId="4" xfId="0" applyNumberFormat="1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8" xfId="0" applyFont="1" applyBorder="1"/>
    <xf numFmtId="14" fontId="9" fillId="0" borderId="4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/>
    <xf numFmtId="0" fontId="1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12" xfId="0" applyFont="1" applyBorder="1"/>
    <xf numFmtId="164" fontId="2" fillId="0" borderId="12" xfId="0" applyNumberFormat="1" applyFont="1" applyBorder="1"/>
    <xf numFmtId="0" fontId="11" fillId="0" borderId="10" xfId="0" applyFont="1" applyBorder="1" applyAlignment="1">
      <alignment horizontal="center" vertical="center"/>
    </xf>
    <xf numFmtId="0" fontId="2" fillId="0" borderId="14" xfId="0" applyFont="1" applyBorder="1"/>
    <xf numFmtId="0" fontId="9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164" fontId="2" fillId="0" borderId="5" xfId="0" applyNumberFormat="1" applyFont="1" applyBorder="1"/>
    <xf numFmtId="0" fontId="2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11" xfId="0" applyNumberFormat="1" applyFont="1" applyBorder="1"/>
    <xf numFmtId="0" fontId="2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6" fontId="9" fillId="0" borderId="1" xfId="0" applyNumberFormat="1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8" fillId="0" borderId="4" xfId="0" applyFont="1" applyBorder="1" applyAlignment="1">
      <alignment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19" fillId="0" borderId="4" xfId="0" applyFont="1" applyBorder="1" applyAlignment="1">
      <alignment wrapText="1"/>
    </xf>
    <xf numFmtId="0" fontId="18" fillId="0" borderId="4" xfId="0" applyFont="1" applyBorder="1"/>
    <xf numFmtId="0" fontId="19" fillId="0" borderId="4" xfId="0" applyFont="1" applyBorder="1"/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4" fontId="2" fillId="0" borderId="10" xfId="0" applyNumberFormat="1" applyFont="1" applyBorder="1"/>
    <xf numFmtId="0" fontId="10" fillId="0" borderId="11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4" fontId="1" fillId="0" borderId="19" xfId="0" applyNumberFormat="1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1" fillId="0" borderId="4" xfId="0" applyFont="1" applyBorder="1"/>
    <xf numFmtId="164" fontId="10" fillId="0" borderId="1" xfId="0" applyNumberFormat="1" applyFont="1" applyBorder="1" applyAlignment="1">
      <alignment horizontal="center" vertical="top"/>
    </xf>
    <xf numFmtId="0" fontId="4" fillId="2" borderId="1" xfId="0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6" fillId="2" borderId="20" xfId="0" applyFont="1" applyFill="1" applyBorder="1" applyAlignment="1">
      <alignment vertical="center" wrapText="1"/>
    </xf>
    <xf numFmtId="14" fontId="11" fillId="0" borderId="20" xfId="0" applyNumberFormat="1" applyFont="1" applyBorder="1" applyAlignment="1">
      <alignment horizontal="center" vertical="center" wrapText="1"/>
    </xf>
    <xf numFmtId="0" fontId="14" fillId="0" borderId="20" xfId="0" applyFont="1" applyBorder="1"/>
    <xf numFmtId="14" fontId="1" fillId="0" borderId="20" xfId="0" applyNumberFormat="1" applyFont="1" applyBorder="1" applyAlignment="1">
      <alignment horizontal="center" vertical="center" wrapText="1"/>
    </xf>
    <xf numFmtId="15" fontId="2" fillId="0" borderId="20" xfId="0" applyNumberFormat="1" applyFont="1" applyBorder="1" applyAlignment="1">
      <alignment horizontal="center" vertical="center" wrapText="1"/>
    </xf>
    <xf numFmtId="14" fontId="2" fillId="0" borderId="20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14" fontId="2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wrapText="1"/>
    </xf>
    <xf numFmtId="0" fontId="18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wrapText="1"/>
    </xf>
    <xf numFmtId="0" fontId="10" fillId="0" borderId="16" xfId="0" applyFont="1" applyBorder="1" applyAlignment="1">
      <alignment horizontal="center" vertical="center"/>
    </xf>
    <xf numFmtId="0" fontId="6" fillId="2" borderId="10" xfId="0" applyFont="1" applyFill="1" applyBorder="1" applyAlignment="1">
      <alignment vertical="center" wrapText="1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9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" xfId="0" applyBorder="1"/>
    <xf numFmtId="0" fontId="13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3114675</xdr:colOff>
      <xdr:row>69</xdr:row>
      <xdr:rowOff>38100</xdr:rowOff>
    </xdr:from>
    <xdr:ext cx="1924050" cy="1743075"/>
    <xdr:pic>
      <xdr:nvPicPr>
        <xdr:cNvPr id="5" name="Imagen 4" descr="C:\Users\personal\Downloads\ALVAREZ IMPRESORES\LOGO ALVAREZ.jpg">
          <a:extLst>
            <a:ext uri="{FF2B5EF4-FFF2-40B4-BE49-F238E27FC236}">
              <a16:creationId xmlns:a16="http://schemas.microsoft.com/office/drawing/2014/main" id="{F24AFAE6-20C7-463F-AE04-74856A17E2A5}"/>
            </a:ext>
            <a:ext uri="{147F2762-F138-4A5C-976F-8EAC2B608ADB}">
              <a16:predDERef xmlns:a16="http://schemas.microsoft.com/office/drawing/2014/main" pred="{BC152334-9C30-4CC1-8EB5-87BA094DB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28936950"/>
          <a:ext cx="192405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3133725</xdr:colOff>
      <xdr:row>1</xdr:row>
      <xdr:rowOff>114300</xdr:rowOff>
    </xdr:from>
    <xdr:to>
      <xdr:col>1</xdr:col>
      <xdr:colOff>4933950</xdr:colOff>
      <xdr:row>2</xdr:row>
      <xdr:rowOff>800100</xdr:rowOff>
    </xdr:to>
    <xdr:pic>
      <xdr:nvPicPr>
        <xdr:cNvPr id="19" name="Imagen 3" descr="C:\Users\personal\Downloads\ALVAREZ IMPRESORES\LOGO ALVAREZ.jpg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F24AFAE6-20C7-463F-AE04-74856A17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257300"/>
          <a:ext cx="1800225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3114675</xdr:colOff>
      <xdr:row>23</xdr:row>
      <xdr:rowOff>57150</xdr:rowOff>
    </xdr:from>
    <xdr:ext cx="1924050" cy="1743075"/>
    <xdr:pic>
      <xdr:nvPicPr>
        <xdr:cNvPr id="20" name="Imagen 4" descr="C:\Users\personal\Downloads\ALVAREZ IMPRESORES\LOGO ALVAREZ.jpg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15392400"/>
          <a:ext cx="192405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3114675</xdr:colOff>
      <xdr:row>91</xdr:row>
      <xdr:rowOff>38100</xdr:rowOff>
    </xdr:from>
    <xdr:ext cx="1924050" cy="1743075"/>
    <xdr:pic>
      <xdr:nvPicPr>
        <xdr:cNvPr id="2" name="Imagen 4" descr="C:\Users\personal\Downloads\ALVAREZ IMPRESORES\LOGO ALVAREZ.jpg">
          <a:extLst>
            <a:ext uri="{FF2B5EF4-FFF2-40B4-BE49-F238E27FC236}">
              <a16:creationId xmlns:a16="http://schemas.microsoft.com/office/drawing/2014/main" id="{8FCE5A27-7CAF-4C3A-9F8F-65957E1CB270}"/>
            </a:ext>
            <a:ext uri="{147F2762-F138-4A5C-976F-8EAC2B608ADB}">
              <a16:predDERef xmlns:a16="http://schemas.microsoft.com/office/drawing/2014/main" pred="{389A28BB-F7EF-4EA4-BC2B-8A2EE94DB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43643550"/>
          <a:ext cx="192405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3114675</xdr:colOff>
      <xdr:row>113</xdr:row>
      <xdr:rowOff>38100</xdr:rowOff>
    </xdr:from>
    <xdr:ext cx="1924050" cy="1743075"/>
    <xdr:pic>
      <xdr:nvPicPr>
        <xdr:cNvPr id="3" name="Imagen 4" descr="C:\Users\personal\Downloads\ALVAREZ IMPRESORES\LOGO ALVAREZ.jpg">
          <a:extLst>
            <a:ext uri="{FF2B5EF4-FFF2-40B4-BE49-F238E27FC236}">
              <a16:creationId xmlns:a16="http://schemas.microsoft.com/office/drawing/2014/main" id="{3F42CC5E-D637-4F2E-8812-96DA18A3F4B3}"/>
            </a:ext>
            <a:ext uri="{147F2762-F138-4A5C-976F-8EAC2B608ADB}">
              <a16:predDERef xmlns:a16="http://schemas.microsoft.com/office/drawing/2014/main" pred="{8FCE5A27-7CAF-4C3A-9F8F-65957E1CB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57616725"/>
          <a:ext cx="192405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3114675</xdr:colOff>
      <xdr:row>47</xdr:row>
      <xdr:rowOff>57150</xdr:rowOff>
    </xdr:from>
    <xdr:ext cx="1924050" cy="1743075"/>
    <xdr:pic>
      <xdr:nvPicPr>
        <xdr:cNvPr id="6" name="Imagen 4" descr="C:\Users\personal\Downloads\ALVAREZ IMPRESORES\LOGO ALVAREZ.jpg">
          <a:extLst>
            <a:ext uri="{FF2B5EF4-FFF2-40B4-BE49-F238E27FC236}">
              <a16:creationId xmlns:a16="http://schemas.microsoft.com/office/drawing/2014/main" id="{673D8864-AA79-4319-97B8-172979DF5649}"/>
            </a:ext>
            <a:ext uri="{147F2762-F138-4A5C-976F-8EAC2B608ADB}">
              <a16:predDERef xmlns:a16="http://schemas.microsoft.com/office/drawing/2014/main" pred="{3F42CC5E-D637-4F2E-8812-96DA18A3F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15392400"/>
          <a:ext cx="192405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3133725</xdr:colOff>
      <xdr:row>23</xdr:row>
      <xdr:rowOff>114300</xdr:rowOff>
    </xdr:from>
    <xdr:to>
      <xdr:col>1</xdr:col>
      <xdr:colOff>4933950</xdr:colOff>
      <xdr:row>24</xdr:row>
      <xdr:rowOff>800100</xdr:rowOff>
    </xdr:to>
    <xdr:pic>
      <xdr:nvPicPr>
        <xdr:cNvPr id="4" name="Imagen 3" descr="C:\Users\personal\Downloads\ALVAREZ IMPRESORES\LOGO ALVAREZ.jpg">
          <a:extLst>
            <a:ext uri="{FF2B5EF4-FFF2-40B4-BE49-F238E27FC236}">
              <a16:creationId xmlns:a16="http://schemas.microsoft.com/office/drawing/2014/main" id="{ABD64C76-4357-40BE-9537-5667FFDFCDA5}"/>
            </a:ext>
            <a:ext uri="{147F2762-F138-4A5C-976F-8EAC2B608ADB}">
              <a16:predDERef xmlns:a16="http://schemas.microsoft.com/office/drawing/2014/main" pred="{673D8864-AA79-4319-97B8-172979DF5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257300"/>
          <a:ext cx="1800225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R136"/>
  <sheetViews>
    <sheetView tabSelected="1" view="pageBreakPreview" zoomScale="40" zoomScaleNormal="20" zoomScaleSheetLayoutView="40" workbookViewId="0">
      <selection activeCell="I25" sqref="I25"/>
    </sheetView>
  </sheetViews>
  <sheetFormatPr baseColWidth="10" defaultColWidth="10.85546875" defaultRowHeight="31.5"/>
  <cols>
    <col min="1" max="1" width="26.7109375" style="1" bestFit="1" customWidth="1"/>
    <col min="2" max="2" width="133.5703125" style="1" customWidth="1"/>
    <col min="3" max="3" width="33.7109375" style="1" customWidth="1"/>
    <col min="4" max="4" width="27.42578125" style="5" customWidth="1"/>
    <col min="5" max="5" width="27.85546875" style="13" customWidth="1"/>
    <col min="6" max="6" width="31.28515625" style="1" customWidth="1"/>
    <col min="7" max="7" width="30.85546875" style="1" customWidth="1"/>
    <col min="8" max="8" width="55.85546875" style="1" customWidth="1"/>
    <col min="9" max="9" width="78.7109375" style="1" customWidth="1"/>
    <col min="10" max="10" width="10.85546875" style="1"/>
    <col min="11" max="11" width="13" style="1" bestFit="1" customWidth="1"/>
    <col min="12" max="12" width="10.85546875" style="1"/>
    <col min="13" max="13" width="50.140625" style="1" customWidth="1"/>
    <col min="14" max="14" width="38.5703125" style="1" customWidth="1"/>
    <col min="15" max="15" width="11" style="1" bestFit="1" customWidth="1"/>
    <col min="16" max="16" width="41.42578125" style="1" customWidth="1"/>
    <col min="17" max="17" width="16.85546875" style="1" customWidth="1"/>
    <col min="18" max="18" width="10.85546875" style="1"/>
    <col min="19" max="19" width="32.5703125" style="1" customWidth="1"/>
    <col min="20" max="20" width="17.7109375" style="1" customWidth="1"/>
    <col min="21" max="42" width="10.85546875" style="1"/>
    <col min="43" max="43" width="37.5703125" style="1" customWidth="1"/>
    <col min="44" max="44" width="26.85546875" style="1" customWidth="1"/>
    <col min="45" max="45" width="10.85546875" style="1"/>
    <col min="46" max="46" width="26.85546875" style="1" customWidth="1"/>
    <col min="47" max="47" width="27" style="1" customWidth="1"/>
    <col min="48" max="16384" width="10.85546875" style="1"/>
  </cols>
  <sheetData>
    <row r="1" spans="2:44" ht="90" customHeight="1">
      <c r="B1" s="5"/>
    </row>
    <row r="2" spans="2:44" ht="75" customHeight="1">
      <c r="B2" s="160" t="s">
        <v>0</v>
      </c>
      <c r="C2" s="162" t="s">
        <v>1</v>
      </c>
      <c r="D2" s="162"/>
      <c r="E2" s="162"/>
      <c r="F2" s="162"/>
      <c r="G2" s="162"/>
      <c r="H2" s="162"/>
      <c r="I2" s="38" t="s">
        <v>2</v>
      </c>
    </row>
    <row r="3" spans="2:44" ht="75" customHeight="1">
      <c r="B3" s="161"/>
      <c r="C3" s="163"/>
      <c r="D3" s="163"/>
      <c r="E3" s="163"/>
      <c r="F3" s="163"/>
      <c r="G3" s="163"/>
      <c r="H3" s="163"/>
      <c r="I3" s="39"/>
    </row>
    <row r="4" spans="2:44" s="3" customFormat="1" ht="54.75" customHeight="1">
      <c r="B4" s="116" t="s">
        <v>3</v>
      </c>
      <c r="C4" s="34" t="s">
        <v>4</v>
      </c>
      <c r="D4" s="116" t="s">
        <v>5</v>
      </c>
      <c r="E4" s="117" t="s">
        <v>6</v>
      </c>
      <c r="F4" s="118" t="s">
        <v>7</v>
      </c>
      <c r="G4" s="147" t="s">
        <v>8</v>
      </c>
      <c r="H4" s="118" t="s">
        <v>9</v>
      </c>
      <c r="I4" s="129" t="s">
        <v>10</v>
      </c>
      <c r="N4" s="4" t="s">
        <v>11</v>
      </c>
    </row>
    <row r="5" spans="2:44" s="2" customFormat="1" ht="47.45" customHeight="1">
      <c r="B5" s="17"/>
      <c r="C5" s="19"/>
      <c r="D5" s="17"/>
      <c r="E5" s="18"/>
      <c r="F5" s="31"/>
      <c r="G5" s="148"/>
      <c r="H5" s="111"/>
      <c r="I5" s="130"/>
      <c r="M5" s="4" t="s">
        <v>12</v>
      </c>
      <c r="N5" s="7">
        <f>SUMIF(H5:H23:H27:H47:H51:H69:H73:H91:H95:H113:H117:H135,"EFECTIVO",E5:E23:E27:E47:E51:E69:E73:E91:E95:E113:E117:E135)</f>
        <v>0</v>
      </c>
      <c r="P5" s="9" t="s">
        <v>13</v>
      </c>
      <c r="Q5" s="2">
        <f>SUM(Q7:Q10)</f>
        <v>0</v>
      </c>
      <c r="S5" s="9" t="s">
        <v>14</v>
      </c>
      <c r="T5" s="2">
        <f>SUM(T8:T10)</f>
        <v>0</v>
      </c>
    </row>
    <row r="6" spans="2:44" s="2" customFormat="1" ht="47.45" customHeight="1">
      <c r="B6" s="17"/>
      <c r="C6" s="14"/>
      <c r="D6" s="17"/>
      <c r="E6" s="18"/>
      <c r="F6" s="31"/>
      <c r="G6" s="148"/>
      <c r="H6" s="111"/>
      <c r="I6" s="130"/>
    </row>
    <row r="7" spans="2:44" s="2" customFormat="1" ht="47.45" customHeight="1">
      <c r="B7" s="74"/>
      <c r="C7" s="153"/>
      <c r="D7" s="74"/>
      <c r="E7" s="79"/>
      <c r="F7" s="144"/>
      <c r="G7" s="148"/>
      <c r="H7" s="111"/>
      <c r="I7" s="131"/>
      <c r="M7" s="4" t="s">
        <v>15</v>
      </c>
      <c r="N7" s="5">
        <f>SUMIFS(E5:E23:E27:E47:E51:E69:E73:E91:E95:E113:E117:E135,C5:C23:C27:C47:C51:C69:C73:C91:C95:C113:C117:C135,"NOTA",H5:H23:H27:H47:H51:H69:H73:H91:H95:H113:H117:H135,"EFECTIVO")</f>
        <v>0</v>
      </c>
      <c r="P7" s="10" t="s">
        <v>16</v>
      </c>
      <c r="Q7" s="6">
        <f>SUMIFS(E5:E23:E27:E51:E51:E69:E73:E91:E95:E113:E117:E135,C5:C23:C27:C58:C62:C69:C73:C91:C95:C113:C117:C135,"NOTA",H5:H23:H27:H44:H51:H69:H73:H91:H95:H113:H117:H135,"TRANSFERENCIA")</f>
        <v>0</v>
      </c>
      <c r="AQ7" s="6"/>
      <c r="AR7" s="6"/>
    </row>
    <row r="8" spans="2:44" s="2" customFormat="1" ht="47.45" customHeight="1">
      <c r="B8" s="17"/>
      <c r="C8" s="14"/>
      <c r="D8" s="17"/>
      <c r="E8" s="18"/>
      <c r="F8" s="31"/>
      <c r="G8" s="148"/>
      <c r="H8" s="111"/>
      <c r="I8" s="130"/>
      <c r="M8" s="4" t="s">
        <v>17</v>
      </c>
      <c r="N8" s="5">
        <f>SUMIFS(E5:E23:E27:E51:E51:E69:E73:E91:E95:E113:E117:E135,C5:C23:C27:C58:C62:C69:C73:C91:C95:C113:C117:C135,"MARIA",H5:H23:H27:H44:H51:H69:H73:H91:H95:H113:H117:H135,"EFECTIVO")</f>
        <v>0</v>
      </c>
      <c r="P8" s="10" t="s">
        <v>18</v>
      </c>
      <c r="Q8" s="6">
        <f>SUMIFS(E5:E23:E27:E51:E51:E69:E73:E91:E95:E113:E117:E135,C5:C23:C27:C58:C62:C69:C73:C91:C95:C113:C117:C135,"MARIA",H5:H23:H27:H44:H51:H69:H73:H91:H95:H113:H117:H135,"TRANSFERENCIA")</f>
        <v>0</v>
      </c>
      <c r="S8" s="9" t="s">
        <v>19</v>
      </c>
      <c r="T8" s="2">
        <f>SUMIFS(E5:E23:E27:E51:E51:E69:E73:E91:E95:E113:E117:E135,C5:C23:C27:C58:C62:C69:C73:C91:C95:C113:C117:C135,"MARIA",H5:H23:H27:H44:H51:H69:H73:H91:H95:H113:H117:H135,"CHEQUE")</f>
        <v>0</v>
      </c>
      <c r="AQ8" s="6"/>
      <c r="AR8" s="6"/>
    </row>
    <row r="9" spans="2:44" s="2" customFormat="1" ht="47.45" customHeight="1">
      <c r="B9" s="17"/>
      <c r="C9" s="14"/>
      <c r="D9" s="17"/>
      <c r="E9" s="18"/>
      <c r="F9" s="31"/>
      <c r="G9" s="148"/>
      <c r="H9" s="111"/>
      <c r="I9" s="130"/>
      <c r="M9" s="4" t="s">
        <v>20</v>
      </c>
      <c r="N9" s="5">
        <f>SUMIFS(E5:E23:E27:E51:E51:E69:E73:E91:E95:E113:E117:E135,C5:C23:C27:C58:C62:C69:C73:C91:C95:C113:C117:C135,"JOSE",H5:H23:H27:H44:H51:H69:H73:H91:H95:H113:H117:H135,"EFECTIVO")</f>
        <v>0</v>
      </c>
      <c r="P9" s="10" t="s">
        <v>21</v>
      </c>
      <c r="Q9" s="6">
        <f>SUMIFS(E5:E23:E27:E51:E51:E69:E73:E91:E95:E113:E117:E135,C5:C23:C27:C58:C62:C69:C73:C91:C95:C113:C117:C135,"JOSE",H5:H23:H27:H44:H51:H69:H73:H91:H95:H113:H117:H135,"TRANSFERENCIA")</f>
        <v>0</v>
      </c>
      <c r="S9" s="9" t="s">
        <v>22</v>
      </c>
      <c r="T9" s="2">
        <f>SUMIFS(E5:E23:E27:E51:E51:E69:E73:E91:E95:E113:E117:E135,C5:C23:C27:C58:C62:C69:C73:C91:C95:C113:C117:C135,"JOSE",H5:H23:H27:H44:H51:H69:H73:H91:H95:H113:H117:H135,"CHEQUE")</f>
        <v>0</v>
      </c>
      <c r="AQ9" s="6"/>
      <c r="AR9" s="6"/>
    </row>
    <row r="10" spans="2:44" s="2" customFormat="1" ht="47.45" customHeight="1">
      <c r="B10" s="17"/>
      <c r="C10" s="14"/>
      <c r="D10" s="17"/>
      <c r="E10" s="18"/>
      <c r="F10" s="31"/>
      <c r="G10" s="148"/>
      <c r="H10" s="111"/>
      <c r="I10" s="132"/>
      <c r="M10" s="4" t="s">
        <v>23</v>
      </c>
      <c r="N10" s="5">
        <f>SUMIFS(E5:E23:E27:E51:E51:E69:E73:E91:E95:E113:E117:E135,C5:C23:C27:C58:C62:C69:C73:C91:C95:C113:C117:C135,"VICTOR",H5:H23:H27:H44:H51:H69:H73:H91:H95:H113:H117:H135,"EFECTIVO")</f>
        <v>0</v>
      </c>
      <c r="P10" s="10" t="s">
        <v>24</v>
      </c>
      <c r="Q10" s="6">
        <f>SUMIFS(E5:E23:E27:E51:E51:E69:E73:E91:E95:E113:E117:E135,C5:C23:C27:C58:C62:C69:C73:C91:C95:C113:C117:C135,"VICTOR",H5:H23:H27:H44:H51:H69:H73:H91:H95:H113:H117:H135,"TRANSFERENCIA")</f>
        <v>0</v>
      </c>
      <c r="S10" s="9" t="s">
        <v>25</v>
      </c>
      <c r="T10" s="2">
        <f>SUMIFS(E5:E23:E27:E51:E51:E69:E73:E91:E95:E113:E117:E135,C5:C23:C27:C58:C62:C69:C73:C91:C95:C113:C117:C135,"VICTOR",H5:H23:H27:H44:H51:H69:H73:H91:H95:H113:H117:H135,"CHEQUE")</f>
        <v>0</v>
      </c>
      <c r="AQ10" s="6"/>
      <c r="AR10" s="6"/>
    </row>
    <row r="11" spans="2:44" s="2" customFormat="1" ht="51.75" customHeight="1">
      <c r="B11" s="69"/>
      <c r="C11" s="135"/>
      <c r="D11" s="69"/>
      <c r="E11" s="70"/>
      <c r="F11" s="136"/>
      <c r="G11" s="119"/>
      <c r="H11" s="111"/>
      <c r="I11" s="132"/>
      <c r="M11" s="4" t="s">
        <v>26</v>
      </c>
      <c r="N11" s="5">
        <f>SUMIFS(E5:E23:E27:E51:E51:E69:E73:E91:E95:E113:E117:E135,C5:C23:C27:C58:C62:C69:C73:C91:C95:C113:C117:C135,"RECIBO",H5:H23:H27:H44:H51:H69:H73:H91:H95:H113:H117:H135,"EFECTIVO")</f>
        <v>0</v>
      </c>
    </row>
    <row r="12" spans="2:44" s="2" customFormat="1" ht="47.45" customHeight="1">
      <c r="B12" s="17"/>
      <c r="C12" s="19"/>
      <c r="D12" s="17"/>
      <c r="E12" s="18"/>
      <c r="F12" s="31"/>
      <c r="G12" s="98"/>
      <c r="H12" s="111"/>
      <c r="I12" s="130"/>
    </row>
    <row r="13" spans="2:44" s="2" customFormat="1" ht="47.45" customHeight="1">
      <c r="B13" s="74"/>
      <c r="C13" s="143"/>
      <c r="D13" s="74"/>
      <c r="E13" s="79"/>
      <c r="F13" s="144"/>
      <c r="G13" s="98"/>
      <c r="H13" s="111"/>
      <c r="I13" s="130"/>
    </row>
    <row r="14" spans="2:44" s="2" customFormat="1" ht="50.25" customHeight="1">
      <c r="B14" s="17"/>
      <c r="C14" s="19"/>
      <c r="D14" s="17"/>
      <c r="E14" s="18"/>
      <c r="F14" s="31"/>
      <c r="G14" s="141"/>
      <c r="H14" s="15"/>
      <c r="I14" s="133"/>
    </row>
    <row r="15" spans="2:44" s="2" customFormat="1" ht="47.45" customHeight="1">
      <c r="B15" s="17"/>
      <c r="C15" s="19"/>
      <c r="D15" s="17"/>
      <c r="E15" s="18"/>
      <c r="F15" s="31"/>
      <c r="G15" s="142"/>
      <c r="H15" s="12"/>
      <c r="I15" s="134"/>
      <c r="M15" s="27"/>
      <c r="N15" s="27"/>
      <c r="O15" s="27"/>
    </row>
    <row r="16" spans="2:44" s="2" customFormat="1" ht="47.45" customHeight="1">
      <c r="B16" s="72"/>
      <c r="C16" s="135"/>
      <c r="D16" s="69"/>
      <c r="E16" s="69"/>
      <c r="F16" s="136"/>
      <c r="G16" s="137"/>
      <c r="H16" s="137"/>
      <c r="I16" s="47"/>
      <c r="K16" s="27"/>
      <c r="N16"/>
    </row>
    <row r="17" spans="1:14" s="2" customFormat="1" ht="54.75" customHeight="1">
      <c r="A17" s="27"/>
      <c r="B17" s="54"/>
      <c r="C17" s="19"/>
      <c r="D17" s="17"/>
      <c r="E17" s="17"/>
      <c r="F17" s="31"/>
      <c r="G17" s="14"/>
      <c r="H17" s="12"/>
      <c r="I17" s="120"/>
      <c r="N17"/>
    </row>
    <row r="18" spans="1:14" s="2" customFormat="1" ht="47.45" customHeight="1">
      <c r="A18" s="27"/>
      <c r="B18" s="54"/>
      <c r="C18" s="92"/>
      <c r="D18" s="17"/>
      <c r="E18" s="17"/>
      <c r="F18" s="31"/>
      <c r="G18" s="113"/>
      <c r="H18" s="11"/>
      <c r="I18" s="23"/>
      <c r="N18"/>
    </row>
    <row r="19" spans="1:14" s="2" customFormat="1" ht="47.45" customHeight="1">
      <c r="A19" s="27"/>
      <c r="B19" s="54"/>
      <c r="C19" s="14"/>
      <c r="D19" s="17"/>
      <c r="E19" s="18"/>
      <c r="F19" s="112"/>
      <c r="G19" s="15"/>
      <c r="H19" s="12"/>
      <c r="I19" s="121"/>
    </row>
    <row r="20" spans="1:14" s="2" customFormat="1" ht="47.45" customHeight="1">
      <c r="A20" s="27"/>
      <c r="B20" s="54"/>
      <c r="C20" s="14"/>
      <c r="D20" s="17"/>
      <c r="E20" s="18"/>
      <c r="F20" s="31"/>
      <c r="G20" s="15"/>
      <c r="H20" s="11"/>
      <c r="I20" s="122"/>
    </row>
    <row r="21" spans="1:14" s="2" customFormat="1" ht="47.45" customHeight="1">
      <c r="A21" s="27"/>
      <c r="B21" s="54"/>
      <c r="C21" s="37"/>
      <c r="D21" s="17"/>
      <c r="E21" s="18"/>
      <c r="F21" s="31"/>
      <c r="G21" s="14"/>
      <c r="H21" s="11"/>
      <c r="I21" s="122"/>
    </row>
    <row r="22" spans="1:14" s="2" customFormat="1" ht="47.45" customHeight="1">
      <c r="A22" s="27"/>
      <c r="B22" s="66"/>
      <c r="C22" s="123"/>
      <c r="D22" s="68"/>
      <c r="E22" s="75"/>
      <c r="F22" s="124"/>
      <c r="G22" s="67"/>
      <c r="H22" s="50"/>
      <c r="I22" s="125"/>
      <c r="K22" s="27"/>
    </row>
    <row r="23" spans="1:14" s="2" customFormat="1" ht="47.45" customHeight="1">
      <c r="A23" s="27"/>
      <c r="B23" s="27"/>
      <c r="C23" s="76"/>
      <c r="D23" s="27"/>
      <c r="E23" s="29"/>
      <c r="F23" s="77"/>
      <c r="G23" s="78"/>
      <c r="H23" s="97"/>
      <c r="I23" s="77"/>
    </row>
    <row r="24" spans="1:14" ht="75" customHeight="1">
      <c r="A24" s="27"/>
      <c r="B24" s="160" t="s">
        <v>27</v>
      </c>
      <c r="C24" s="162" t="s">
        <v>1</v>
      </c>
      <c r="D24" s="162"/>
      <c r="E24" s="162"/>
      <c r="F24" s="162"/>
      <c r="G24" s="162"/>
      <c r="H24" s="162"/>
      <c r="I24" s="38" t="s">
        <v>2</v>
      </c>
    </row>
    <row r="25" spans="1:14" ht="75" customHeight="1">
      <c r="A25" s="27"/>
      <c r="B25" s="161"/>
      <c r="C25" s="163"/>
      <c r="D25" s="163"/>
      <c r="E25" s="163"/>
      <c r="F25" s="163"/>
      <c r="G25" s="163"/>
      <c r="H25" s="164"/>
      <c r="I25" s="39"/>
    </row>
    <row r="26" spans="1:14" s="3" customFormat="1" ht="52.5">
      <c r="B26" s="35" t="s">
        <v>3</v>
      </c>
      <c r="C26" s="34" t="s">
        <v>4</v>
      </c>
      <c r="D26" s="99" t="s">
        <v>5</v>
      </c>
      <c r="E26" s="100" t="s">
        <v>6</v>
      </c>
      <c r="F26" s="34" t="s">
        <v>7</v>
      </c>
      <c r="G26" s="138" t="s">
        <v>8</v>
      </c>
      <c r="H26" s="138" t="s">
        <v>9</v>
      </c>
      <c r="I26" s="40" t="s">
        <v>10</v>
      </c>
    </row>
    <row r="27" spans="1:14" s="2" customFormat="1" ht="47.45" customHeight="1">
      <c r="B27" s="17"/>
      <c r="C27" s="19"/>
      <c r="D27" s="17"/>
      <c r="E27" s="18"/>
      <c r="F27" s="31"/>
      <c r="G27" s="141"/>
      <c r="H27" s="71"/>
      <c r="I27" s="94"/>
      <c r="M27" s="28"/>
    </row>
    <row r="28" spans="1:14" s="2" customFormat="1" ht="47.45" customHeight="1">
      <c r="B28" s="17"/>
      <c r="C28" s="19"/>
      <c r="D28" s="17"/>
      <c r="E28" s="18"/>
      <c r="F28" s="31"/>
      <c r="G28" s="141"/>
      <c r="H28" s="71"/>
      <c r="I28" s="94"/>
      <c r="M28" s="28"/>
    </row>
    <row r="29" spans="1:14" s="2" customFormat="1" ht="47.45" customHeight="1">
      <c r="B29" s="17"/>
      <c r="C29" s="19"/>
      <c r="D29" s="17"/>
      <c r="E29" s="18"/>
      <c r="F29" s="31"/>
      <c r="G29" s="149"/>
      <c r="H29" s="81"/>
      <c r="I29" s="91"/>
      <c r="M29" s="28"/>
    </row>
    <row r="30" spans="1:14" s="2" customFormat="1" ht="47.45" customHeight="1">
      <c r="B30" s="17"/>
      <c r="C30" s="19"/>
      <c r="D30" s="17"/>
      <c r="E30" s="18"/>
      <c r="F30" s="31"/>
      <c r="G30" s="141"/>
      <c r="H30" s="71"/>
      <c r="I30" s="95"/>
      <c r="M30" s="28"/>
    </row>
    <row r="31" spans="1:14" s="2" customFormat="1" ht="47.45" customHeight="1">
      <c r="B31" s="17"/>
      <c r="C31" s="19"/>
      <c r="D31" s="17"/>
      <c r="E31" s="18"/>
      <c r="F31" s="31"/>
      <c r="G31" s="141"/>
      <c r="H31" s="71"/>
      <c r="I31" s="96"/>
      <c r="M31" s="28"/>
    </row>
    <row r="32" spans="1:14" s="2" customFormat="1" ht="50.25" customHeight="1">
      <c r="B32" s="17"/>
      <c r="C32" s="19"/>
      <c r="D32" s="17"/>
      <c r="E32" s="18"/>
      <c r="F32" s="31"/>
      <c r="G32" s="141"/>
      <c r="H32" s="71"/>
      <c r="I32" s="114"/>
    </row>
    <row r="33" spans="1:13" s="2" customFormat="1" ht="47.45" customHeight="1">
      <c r="B33" s="17"/>
      <c r="C33" s="19"/>
      <c r="D33" s="17"/>
      <c r="E33" s="18"/>
      <c r="F33" s="31"/>
      <c r="G33" s="141"/>
      <c r="H33" s="71"/>
      <c r="I33" s="91"/>
      <c r="K33" s="27"/>
    </row>
    <row r="34" spans="1:13" s="2" customFormat="1" ht="50.25" customHeight="1">
      <c r="B34" s="17"/>
      <c r="C34" s="14"/>
      <c r="D34" s="17"/>
      <c r="E34" s="18"/>
      <c r="F34" s="31"/>
      <c r="G34" s="141"/>
      <c r="H34" s="71"/>
      <c r="I34" s="96"/>
    </row>
    <row r="35" spans="1:13" s="2" customFormat="1" ht="48.75" customHeight="1">
      <c r="B35" s="17"/>
      <c r="C35" s="19"/>
      <c r="D35" s="17"/>
      <c r="E35" s="18"/>
      <c r="F35" s="31"/>
      <c r="G35" s="141"/>
      <c r="H35" s="71"/>
      <c r="I35" s="94"/>
      <c r="K35" s="29"/>
    </row>
    <row r="36" spans="1:13" s="2" customFormat="1" ht="47.45" customHeight="1">
      <c r="A36" s="2" t="s">
        <v>29</v>
      </c>
      <c r="B36" s="74"/>
      <c r="C36" s="143"/>
      <c r="D36" s="74"/>
      <c r="E36" s="79"/>
      <c r="F36" s="144"/>
      <c r="G36" s="152"/>
      <c r="H36" s="80"/>
      <c r="I36" s="95"/>
    </row>
    <row r="37" spans="1:13" s="2" customFormat="1" ht="53.25" customHeight="1">
      <c r="B37" s="17"/>
      <c r="C37" s="19"/>
      <c r="D37" s="17"/>
      <c r="E37" s="18"/>
      <c r="F37" s="31"/>
      <c r="G37" s="92"/>
      <c r="H37" s="139"/>
      <c r="I37" s="94"/>
    </row>
    <row r="38" spans="1:13" s="2" customFormat="1" ht="48.75" customHeight="1">
      <c r="B38" s="17"/>
      <c r="C38" s="19"/>
      <c r="D38" s="17"/>
      <c r="E38" s="18"/>
      <c r="F38" s="31"/>
      <c r="G38" s="92"/>
      <c r="H38" s="146"/>
      <c r="I38" s="94"/>
      <c r="M38" s="30"/>
    </row>
    <row r="39" spans="1:13" s="2" customFormat="1" ht="47.45" customHeight="1">
      <c r="B39" s="17"/>
      <c r="C39" s="19"/>
      <c r="D39" s="17"/>
      <c r="E39" s="18"/>
      <c r="F39" s="31"/>
      <c r="G39" s="93"/>
      <c r="H39" s="81"/>
      <c r="I39" s="145"/>
    </row>
    <row r="40" spans="1:13" s="2" customFormat="1" ht="47.45" customHeight="1">
      <c r="B40" s="17"/>
      <c r="C40" s="19"/>
      <c r="D40" s="17"/>
      <c r="E40" s="18"/>
      <c r="F40" s="31"/>
      <c r="G40" s="92"/>
      <c r="H40" s="73"/>
      <c r="I40" s="145"/>
    </row>
    <row r="41" spans="1:13" s="2" customFormat="1" ht="47.45" customHeight="1">
      <c r="B41" s="74"/>
      <c r="C41" s="143"/>
      <c r="D41" s="74"/>
      <c r="E41" s="79"/>
      <c r="F41" s="144"/>
      <c r="G41" s="156"/>
      <c r="H41" s="150"/>
      <c r="I41" s="94"/>
    </row>
    <row r="42" spans="1:13" s="2" customFormat="1" ht="47.45" customHeight="1">
      <c r="B42" s="17"/>
      <c r="C42" s="19"/>
      <c r="D42" s="17"/>
      <c r="E42" s="18"/>
      <c r="F42" s="31"/>
      <c r="G42" s="109"/>
      <c r="H42" s="151"/>
      <c r="I42" s="94"/>
    </row>
    <row r="43" spans="1:13" s="2" customFormat="1" ht="47.45" customHeight="1">
      <c r="A43" t="s">
        <v>30</v>
      </c>
      <c r="B43" s="17"/>
      <c r="C43" s="115"/>
      <c r="D43" s="17"/>
      <c r="E43" s="18"/>
      <c r="F43" s="31"/>
      <c r="G43" s="110"/>
      <c r="H43" s="151"/>
      <c r="I43" s="94"/>
    </row>
    <row r="44" spans="1:13" s="2" customFormat="1" ht="47.45" customHeight="1">
      <c r="B44" s="17"/>
      <c r="C44" s="115"/>
      <c r="D44" s="17"/>
      <c r="E44" s="18"/>
      <c r="F44" s="31"/>
      <c r="G44" s="93"/>
      <c r="H44" s="155"/>
      <c r="I44" s="94"/>
    </row>
    <row r="45" spans="1:13" s="2" customFormat="1" ht="47.45" customHeight="1">
      <c r="B45" s="154"/>
      <c r="C45" s="19"/>
      <c r="D45" s="17"/>
      <c r="E45" s="17"/>
      <c r="F45" s="31"/>
      <c r="G45" s="110"/>
      <c r="H45" s="139"/>
      <c r="I45" s="94"/>
    </row>
    <row r="46" spans="1:13" s="2" customFormat="1" ht="47.45" customHeight="1">
      <c r="B46" s="72"/>
      <c r="C46" s="157"/>
      <c r="D46" s="69"/>
      <c r="E46" s="69"/>
      <c r="F46" s="136"/>
      <c r="G46" s="140"/>
      <c r="H46" s="98"/>
      <c r="I46" s="91"/>
    </row>
    <row r="47" spans="1:13" s="2" customFormat="1" ht="47.45" customHeight="1">
      <c r="B47" s="66"/>
      <c r="C47" s="16" t="s">
        <v>28</v>
      </c>
      <c r="D47" s="68"/>
      <c r="E47" s="68"/>
      <c r="F47" s="124"/>
      <c r="G47" s="127"/>
      <c r="H47" s="128"/>
      <c r="I47" s="26"/>
    </row>
    <row r="48" spans="1:13" ht="75" customHeight="1">
      <c r="B48" s="167" t="s">
        <v>31</v>
      </c>
      <c r="C48" s="169" t="s">
        <v>1</v>
      </c>
      <c r="D48" s="169"/>
      <c r="E48" s="169"/>
      <c r="F48" s="169"/>
      <c r="G48" s="169"/>
      <c r="H48" s="169"/>
      <c r="I48" s="126" t="s">
        <v>2</v>
      </c>
      <c r="J48" s="32"/>
    </row>
    <row r="49" spans="2:10" ht="81.75" customHeight="1">
      <c r="B49" s="168"/>
      <c r="C49" s="170"/>
      <c r="D49" s="170"/>
      <c r="E49" s="170"/>
      <c r="F49" s="170"/>
      <c r="G49" s="170"/>
      <c r="H49" s="171"/>
      <c r="I49" s="39">
        <v>46280</v>
      </c>
      <c r="J49" s="32"/>
    </row>
    <row r="50" spans="2:10" s="3" customFormat="1" ht="53.25" customHeight="1">
      <c r="B50" s="17"/>
      <c r="C50" s="35" t="s">
        <v>4</v>
      </c>
      <c r="D50" s="99" t="s">
        <v>5</v>
      </c>
      <c r="E50" s="100" t="s">
        <v>6</v>
      </c>
      <c r="F50" s="35" t="s">
        <v>7</v>
      </c>
      <c r="G50" s="35" t="s">
        <v>8</v>
      </c>
      <c r="H50" s="86" t="s">
        <v>9</v>
      </c>
      <c r="I50" s="87" t="s">
        <v>10</v>
      </c>
    </row>
    <row r="51" spans="2:10" s="2" customFormat="1" ht="47.45" customHeight="1">
      <c r="B51" s="17"/>
      <c r="C51" s="15"/>
      <c r="D51" s="17"/>
      <c r="E51" s="18"/>
      <c r="F51" s="21"/>
      <c r="G51" s="14"/>
      <c r="H51" s="71"/>
      <c r="I51" s="84"/>
    </row>
    <row r="52" spans="2:10" s="2" customFormat="1" ht="47.45" customHeight="1">
      <c r="B52" s="17"/>
      <c r="C52" s="15"/>
      <c r="D52" s="17"/>
      <c r="E52" s="18"/>
      <c r="F52" s="31"/>
      <c r="G52" s="14"/>
      <c r="H52" s="71"/>
      <c r="I52" s="11"/>
    </row>
    <row r="53" spans="2:10" s="2" customFormat="1" ht="47.45" customHeight="1">
      <c r="B53" s="17"/>
      <c r="C53" s="15"/>
      <c r="D53" s="17"/>
      <c r="E53" s="18"/>
      <c r="F53" s="31"/>
      <c r="G53" s="11"/>
      <c r="H53" s="71"/>
      <c r="I53" s="85"/>
    </row>
    <row r="54" spans="2:10" s="2" customFormat="1" ht="47.45" customHeight="1">
      <c r="B54" s="17"/>
      <c r="C54" s="15"/>
      <c r="D54" s="17"/>
      <c r="E54" s="18"/>
      <c r="F54" s="21"/>
      <c r="G54" s="11"/>
      <c r="H54" s="88"/>
      <c r="I54" s="89"/>
    </row>
    <row r="55" spans="2:10" s="2" customFormat="1" ht="47.45" customHeight="1">
      <c r="B55" s="74"/>
      <c r="C55" s="90"/>
      <c r="D55" s="74"/>
      <c r="E55" s="79"/>
      <c r="F55" s="102"/>
      <c r="G55" s="103"/>
      <c r="H55" s="71"/>
      <c r="I55" s="49"/>
    </row>
    <row r="56" spans="2:10" s="2" customFormat="1" ht="50.25" customHeight="1">
      <c r="B56" s="17"/>
      <c r="C56" s="15"/>
      <c r="D56" s="17"/>
      <c r="E56" s="18"/>
      <c r="F56" s="21"/>
      <c r="G56" s="11"/>
      <c r="H56" s="71"/>
      <c r="I56" s="51"/>
    </row>
    <row r="57" spans="2:10" s="2" customFormat="1" ht="47.45" customHeight="1">
      <c r="B57" s="74"/>
      <c r="C57" s="105"/>
      <c r="D57" s="74"/>
      <c r="E57" s="18"/>
      <c r="F57" s="31"/>
      <c r="G57" s="11"/>
      <c r="H57" s="71"/>
      <c r="I57" s="51"/>
    </row>
    <row r="58" spans="2:10" s="2" customFormat="1" ht="47.45" customHeight="1">
      <c r="B58" s="17"/>
      <c r="C58" s="37"/>
      <c r="D58" s="17"/>
      <c r="E58" s="104"/>
      <c r="F58" s="33"/>
      <c r="G58" s="65"/>
      <c r="H58" s="71"/>
      <c r="I58" s="51"/>
    </row>
    <row r="59" spans="2:10" s="2" customFormat="1" ht="47.45" customHeight="1">
      <c r="B59" s="74"/>
      <c r="C59" s="105"/>
      <c r="D59" s="74"/>
      <c r="E59" s="29"/>
      <c r="F59" s="107"/>
      <c r="G59" s="101"/>
      <c r="H59" s="71"/>
      <c r="I59" s="51"/>
    </row>
    <row r="60" spans="2:10" s="2" customFormat="1" ht="47.45" customHeight="1">
      <c r="B60" s="17"/>
      <c r="C60" s="37"/>
      <c r="D60" s="17"/>
      <c r="E60" s="18"/>
      <c r="F60" s="33"/>
      <c r="G60" s="73"/>
      <c r="H60" s="80"/>
      <c r="I60" s="51"/>
    </row>
    <row r="61" spans="2:10" s="2" customFormat="1" ht="47.45" customHeight="1">
      <c r="B61" s="17"/>
      <c r="C61" s="37"/>
      <c r="D61" s="17"/>
      <c r="E61" s="18"/>
      <c r="F61" s="33"/>
      <c r="G61" s="73"/>
      <c r="H61" s="81"/>
      <c r="I61" s="51"/>
    </row>
    <row r="62" spans="2:10" s="2" customFormat="1" ht="47.45" customHeight="1">
      <c r="B62" s="27"/>
      <c r="C62" s="8"/>
      <c r="D62" s="27"/>
      <c r="E62" s="29"/>
      <c r="F62" s="33"/>
      <c r="G62" s="106"/>
      <c r="H62" s="81"/>
      <c r="I62" s="49"/>
    </row>
    <row r="63" spans="2:10" s="2" customFormat="1" ht="47.45" customHeight="1">
      <c r="B63" s="69"/>
      <c r="C63" s="82"/>
      <c r="D63" s="69"/>
      <c r="E63" s="70"/>
      <c r="F63" s="108"/>
      <c r="G63" s="33"/>
      <c r="H63" s="81"/>
      <c r="I63" s="49"/>
    </row>
    <row r="64" spans="2:10" s="2" customFormat="1" ht="47.45" customHeight="1">
      <c r="B64" s="17"/>
      <c r="C64" s="8"/>
      <c r="D64" s="17"/>
      <c r="E64" s="18"/>
      <c r="F64" s="36"/>
      <c r="G64" s="8"/>
      <c r="H64" s="73"/>
      <c r="I64" s="49"/>
    </row>
    <row r="65" spans="2:9" s="2" customFormat="1" ht="47.45" customHeight="1">
      <c r="B65" s="72"/>
      <c r="C65" s="82"/>
      <c r="D65" s="69"/>
      <c r="E65" s="70"/>
      <c r="F65" s="83"/>
      <c r="G65" s="82"/>
      <c r="H65" s="12"/>
      <c r="I65" s="55"/>
    </row>
    <row r="66" spans="2:9" s="2" customFormat="1" ht="47.45" customHeight="1">
      <c r="B66" s="54"/>
      <c r="C66" s="8"/>
      <c r="D66" s="17"/>
      <c r="E66" s="18"/>
      <c r="F66" s="36"/>
      <c r="G66" s="11"/>
      <c r="H66" s="11"/>
      <c r="I66" s="55"/>
    </row>
    <row r="67" spans="2:9" s="2" customFormat="1" ht="47.45" customHeight="1">
      <c r="B67" s="54"/>
      <c r="C67" s="8"/>
      <c r="D67" s="17"/>
      <c r="E67" s="18"/>
      <c r="F67" s="36"/>
      <c r="G67" s="11"/>
      <c r="H67" s="11"/>
      <c r="I67" s="51"/>
    </row>
    <row r="68" spans="2:9" s="2" customFormat="1" ht="47.45" customHeight="1">
      <c r="B68" s="66"/>
      <c r="C68" s="67"/>
      <c r="D68" s="68"/>
      <c r="E68" s="75"/>
      <c r="F68" s="56"/>
      <c r="G68" s="57"/>
      <c r="H68" s="50"/>
      <c r="I68" s="52"/>
    </row>
    <row r="69" spans="2:9" s="2" customFormat="1" ht="47.45" customHeight="1">
      <c r="B69" s="27"/>
      <c r="C69" s="78"/>
      <c r="D69" s="41"/>
      <c r="E69" s="43"/>
      <c r="F69" s="44"/>
      <c r="G69" s="42"/>
      <c r="H69" s="45"/>
      <c r="I69" s="45"/>
    </row>
    <row r="70" spans="2:9" ht="75" customHeight="1">
      <c r="B70" s="165" t="s">
        <v>32</v>
      </c>
      <c r="C70" s="158" t="s">
        <v>1</v>
      </c>
      <c r="D70" s="158"/>
      <c r="E70" s="158"/>
      <c r="F70" s="158"/>
      <c r="G70" s="158"/>
      <c r="H70" s="158"/>
      <c r="I70" s="38" t="s">
        <v>2</v>
      </c>
    </row>
    <row r="71" spans="2:9" ht="75" customHeight="1">
      <c r="B71" s="166"/>
      <c r="C71" s="159"/>
      <c r="D71" s="159"/>
      <c r="E71" s="159"/>
      <c r="F71" s="159"/>
      <c r="G71" s="159"/>
      <c r="H71" s="159"/>
      <c r="I71" s="39">
        <v>46231</v>
      </c>
    </row>
    <row r="72" spans="2:9" s="3" customFormat="1" ht="52.5">
      <c r="B72" s="53" t="s">
        <v>3</v>
      </c>
      <c r="C72" s="34" t="s">
        <v>4</v>
      </c>
      <c r="D72" s="35" t="s">
        <v>5</v>
      </c>
      <c r="E72" s="48" t="s">
        <v>6</v>
      </c>
      <c r="F72" s="34" t="s">
        <v>7</v>
      </c>
      <c r="G72" s="34" t="s">
        <v>8</v>
      </c>
      <c r="H72" s="34" t="s">
        <v>9</v>
      </c>
      <c r="I72" s="40" t="s">
        <v>10</v>
      </c>
    </row>
    <row r="73" spans="2:9" s="2" customFormat="1" ht="47.45" customHeight="1">
      <c r="B73" s="54"/>
      <c r="C73" s="14"/>
      <c r="D73" s="17"/>
      <c r="E73" s="18"/>
      <c r="F73" s="31"/>
      <c r="G73" s="8"/>
      <c r="H73" s="8"/>
      <c r="I73" s="47"/>
    </row>
    <row r="74" spans="2:9" s="2" customFormat="1" ht="47.45" customHeight="1">
      <c r="B74" s="58"/>
      <c r="C74" s="14"/>
      <c r="D74" s="19"/>
      <c r="E74" s="20"/>
      <c r="F74" s="21"/>
      <c r="G74" s="15"/>
      <c r="H74" s="15"/>
      <c r="I74" s="23"/>
    </row>
    <row r="75" spans="2:9" s="2" customFormat="1" ht="47.45" customHeight="1">
      <c r="B75" s="54"/>
      <c r="C75" s="14"/>
      <c r="D75" s="14"/>
      <c r="E75" s="22"/>
      <c r="F75" s="21"/>
      <c r="G75" s="15"/>
      <c r="H75" s="15"/>
      <c r="I75" s="23"/>
    </row>
    <row r="76" spans="2:9" s="2" customFormat="1" ht="47.45" customHeight="1">
      <c r="B76" s="54"/>
      <c r="C76" s="14"/>
      <c r="D76" s="14"/>
      <c r="E76" s="22"/>
      <c r="F76" s="21"/>
      <c r="G76" s="15"/>
      <c r="H76" s="15"/>
      <c r="I76" s="23"/>
    </row>
    <row r="77" spans="2:9" s="2" customFormat="1" ht="47.45" customHeight="1">
      <c r="B77" s="54"/>
      <c r="C77" s="14"/>
      <c r="D77" s="14"/>
      <c r="E77" s="22"/>
      <c r="F77" s="21"/>
      <c r="G77" s="15"/>
      <c r="H77" s="15"/>
      <c r="I77" s="23"/>
    </row>
    <row r="78" spans="2:9" s="2" customFormat="1" ht="47.45" customHeight="1">
      <c r="B78" s="59"/>
      <c r="C78" s="14"/>
      <c r="D78" s="15"/>
      <c r="E78" s="22"/>
      <c r="F78" s="21"/>
      <c r="G78" s="15"/>
      <c r="H78" s="15"/>
      <c r="I78" s="23"/>
    </row>
    <row r="79" spans="2:9" s="2" customFormat="1" ht="47.45" customHeight="1">
      <c r="B79" s="59"/>
      <c r="C79" s="15"/>
      <c r="D79" s="14"/>
      <c r="E79" s="22"/>
      <c r="F79" s="21"/>
      <c r="G79" s="15"/>
      <c r="H79" s="15"/>
      <c r="I79" s="23"/>
    </row>
    <row r="80" spans="2:9" s="2" customFormat="1" ht="47.45" customHeight="1">
      <c r="B80" s="59"/>
      <c r="C80" s="15"/>
      <c r="D80" s="15"/>
      <c r="E80" s="24"/>
      <c r="F80" s="21"/>
      <c r="G80" s="15"/>
      <c r="H80" s="15"/>
      <c r="I80" s="23"/>
    </row>
    <row r="81" spans="2:9" s="2" customFormat="1" ht="47.45" customHeight="1">
      <c r="B81" s="59"/>
      <c r="C81" s="15"/>
      <c r="D81" s="14"/>
      <c r="E81" s="22"/>
      <c r="F81" s="21"/>
      <c r="G81" s="15"/>
      <c r="H81" s="15"/>
      <c r="I81" s="23"/>
    </row>
    <row r="82" spans="2:9" s="2" customFormat="1" ht="47.45" customHeight="1">
      <c r="B82" s="60"/>
      <c r="C82" s="15"/>
      <c r="D82" s="14"/>
      <c r="E82" s="22"/>
      <c r="F82" s="21"/>
      <c r="G82" s="15"/>
      <c r="H82" s="15"/>
      <c r="I82" s="23"/>
    </row>
    <row r="83" spans="2:9" s="2" customFormat="1" ht="47.45" customHeight="1">
      <c r="B83" s="59"/>
      <c r="C83" s="15"/>
      <c r="D83" s="15"/>
      <c r="E83" s="24"/>
      <c r="F83" s="15"/>
      <c r="G83" s="15"/>
      <c r="H83" s="15"/>
      <c r="I83" s="23"/>
    </row>
    <row r="84" spans="2:9" s="2" customFormat="1" ht="47.45" customHeight="1">
      <c r="B84" s="60"/>
      <c r="C84" s="15"/>
      <c r="D84" s="15"/>
      <c r="E84" s="24"/>
      <c r="F84" s="15"/>
      <c r="G84" s="15"/>
      <c r="H84" s="15"/>
      <c r="I84" s="23"/>
    </row>
    <row r="85" spans="2:9" s="2" customFormat="1" ht="47.45" customHeight="1">
      <c r="B85" s="60"/>
      <c r="C85" s="15"/>
      <c r="D85" s="15"/>
      <c r="E85" s="24"/>
      <c r="F85" s="15"/>
      <c r="G85" s="15"/>
      <c r="H85" s="15"/>
      <c r="I85" s="23"/>
    </row>
    <row r="86" spans="2:9" s="2" customFormat="1" ht="47.45" customHeight="1">
      <c r="B86" s="60"/>
      <c r="C86" s="15"/>
      <c r="D86" s="15"/>
      <c r="E86" s="24"/>
      <c r="F86" s="15"/>
      <c r="G86" s="15"/>
      <c r="H86" s="15"/>
      <c r="I86" s="23"/>
    </row>
    <row r="87" spans="2:9" s="2" customFormat="1" ht="47.45" customHeight="1">
      <c r="B87" s="60"/>
      <c r="C87" s="15"/>
      <c r="D87" s="15"/>
      <c r="E87" s="24"/>
      <c r="F87" s="15"/>
      <c r="G87" s="15"/>
      <c r="H87" s="15"/>
      <c r="I87" s="23"/>
    </row>
    <row r="88" spans="2:9" s="2" customFormat="1" ht="47.45" customHeight="1">
      <c r="B88" s="60"/>
      <c r="C88" s="15"/>
      <c r="D88" s="15"/>
      <c r="E88" s="24"/>
      <c r="F88" s="15"/>
      <c r="G88" s="15"/>
      <c r="H88" s="15"/>
      <c r="I88" s="23"/>
    </row>
    <row r="89" spans="2:9" s="2" customFormat="1" ht="47.45" customHeight="1">
      <c r="B89" s="60"/>
      <c r="C89" s="15"/>
      <c r="D89" s="15"/>
      <c r="E89" s="24"/>
      <c r="F89" s="15"/>
      <c r="G89" s="15"/>
      <c r="H89" s="15"/>
      <c r="I89" s="23"/>
    </row>
    <row r="90" spans="2:9" s="2" customFormat="1" ht="47.45" customHeight="1">
      <c r="B90" s="61"/>
      <c r="C90" s="16"/>
      <c r="D90" s="16"/>
      <c r="E90" s="25"/>
      <c r="F90" s="16"/>
      <c r="G90" s="16"/>
      <c r="H90" s="16"/>
      <c r="I90" s="26"/>
    </row>
    <row r="91" spans="2:9" s="2" customFormat="1" ht="47.45" customHeight="1">
      <c r="B91" s="5"/>
      <c r="C91" s="5"/>
      <c r="D91" s="5"/>
      <c r="E91" s="46"/>
      <c r="F91" s="5"/>
      <c r="G91" s="5"/>
      <c r="H91" s="5"/>
      <c r="I91" s="5"/>
    </row>
    <row r="92" spans="2:9" ht="75" customHeight="1">
      <c r="B92" s="165" t="s">
        <v>33</v>
      </c>
      <c r="C92" s="158" t="s">
        <v>1</v>
      </c>
      <c r="D92" s="158"/>
      <c r="E92" s="158"/>
      <c r="F92" s="158"/>
      <c r="G92" s="158"/>
      <c r="H92" s="158"/>
      <c r="I92" s="38" t="s">
        <v>2</v>
      </c>
    </row>
    <row r="93" spans="2:9" ht="75" customHeight="1">
      <c r="B93" s="166"/>
      <c r="C93" s="159"/>
      <c r="D93" s="159"/>
      <c r="E93" s="159"/>
      <c r="F93" s="159"/>
      <c r="G93" s="159"/>
      <c r="H93" s="159"/>
      <c r="I93" s="39">
        <v>46231</v>
      </c>
    </row>
    <row r="94" spans="2:9" s="3" customFormat="1" ht="52.5">
      <c r="B94" s="53" t="s">
        <v>3</v>
      </c>
      <c r="C94" s="34" t="s">
        <v>4</v>
      </c>
      <c r="D94" s="35" t="s">
        <v>5</v>
      </c>
      <c r="E94" s="48" t="s">
        <v>6</v>
      </c>
      <c r="F94" s="34" t="s">
        <v>7</v>
      </c>
      <c r="G94" s="34" t="s">
        <v>8</v>
      </c>
      <c r="H94" s="34" t="s">
        <v>9</v>
      </c>
      <c r="I94" s="40" t="s">
        <v>10</v>
      </c>
    </row>
    <row r="95" spans="2:9" s="2" customFormat="1" ht="47.45" customHeight="1">
      <c r="B95" s="54"/>
      <c r="C95" s="14"/>
      <c r="D95" s="17"/>
      <c r="E95" s="18"/>
      <c r="F95" s="31"/>
      <c r="G95" s="8"/>
      <c r="H95" s="8"/>
      <c r="I95" s="47"/>
    </row>
    <row r="96" spans="2:9" s="2" customFormat="1" ht="47.45" customHeight="1">
      <c r="B96" s="58"/>
      <c r="C96" s="14"/>
      <c r="D96" s="19"/>
      <c r="E96" s="20"/>
      <c r="F96" s="21"/>
      <c r="G96" s="15"/>
      <c r="H96" s="15"/>
      <c r="I96" s="23"/>
    </row>
    <row r="97" spans="2:9" s="2" customFormat="1" ht="47.45" customHeight="1">
      <c r="B97" s="54"/>
      <c r="C97" s="14"/>
      <c r="D97" s="14"/>
      <c r="E97" s="22"/>
      <c r="F97" s="21"/>
      <c r="G97" s="15"/>
      <c r="H97" s="15"/>
      <c r="I97" s="23"/>
    </row>
    <row r="98" spans="2:9" s="2" customFormat="1" ht="47.45" customHeight="1">
      <c r="B98" s="54"/>
      <c r="C98" s="14"/>
      <c r="D98" s="14"/>
      <c r="E98" s="22"/>
      <c r="F98" s="21"/>
      <c r="G98" s="15"/>
      <c r="H98" s="15"/>
      <c r="I98" s="23"/>
    </row>
    <row r="99" spans="2:9" s="2" customFormat="1" ht="47.45" customHeight="1">
      <c r="B99" s="54"/>
      <c r="C99" s="14"/>
      <c r="D99" s="14"/>
      <c r="E99" s="22"/>
      <c r="F99" s="21"/>
      <c r="G99" s="15"/>
      <c r="H99" s="15"/>
      <c r="I99" s="23"/>
    </row>
    <row r="100" spans="2:9" s="2" customFormat="1" ht="47.45" customHeight="1">
      <c r="B100" s="59"/>
      <c r="C100" s="14"/>
      <c r="D100" s="15"/>
      <c r="E100" s="22"/>
      <c r="F100" s="21"/>
      <c r="G100" s="15"/>
      <c r="H100" s="15"/>
      <c r="I100" s="23"/>
    </row>
    <row r="101" spans="2:9" s="2" customFormat="1" ht="47.45" customHeight="1">
      <c r="B101" s="59"/>
      <c r="C101" s="15"/>
      <c r="D101" s="14"/>
      <c r="E101" s="22"/>
      <c r="F101" s="21"/>
      <c r="G101" s="15"/>
      <c r="H101" s="15"/>
      <c r="I101" s="23"/>
    </row>
    <row r="102" spans="2:9" s="2" customFormat="1" ht="47.45" customHeight="1">
      <c r="B102" s="59"/>
      <c r="C102" s="15"/>
      <c r="D102" s="15"/>
      <c r="E102" s="24"/>
      <c r="F102" s="21"/>
      <c r="G102" s="15"/>
      <c r="H102" s="15"/>
      <c r="I102" s="23"/>
    </row>
    <row r="103" spans="2:9" s="2" customFormat="1" ht="47.45" customHeight="1">
      <c r="B103" s="59"/>
      <c r="C103" s="15"/>
      <c r="D103" s="14"/>
      <c r="E103" s="22"/>
      <c r="F103" s="21"/>
      <c r="G103" s="15"/>
      <c r="H103" s="15"/>
      <c r="I103" s="23"/>
    </row>
    <row r="104" spans="2:9" s="2" customFormat="1" ht="47.45" customHeight="1">
      <c r="B104" s="60"/>
      <c r="C104" s="15"/>
      <c r="D104" s="14"/>
      <c r="E104" s="22"/>
      <c r="F104" s="21"/>
      <c r="G104" s="15"/>
      <c r="H104" s="15"/>
      <c r="I104" s="23"/>
    </row>
    <row r="105" spans="2:9" s="2" customFormat="1" ht="47.45" customHeight="1">
      <c r="B105" s="59"/>
      <c r="C105" s="15"/>
      <c r="D105" s="15"/>
      <c r="E105" s="24"/>
      <c r="F105" s="15"/>
      <c r="G105" s="15"/>
      <c r="H105" s="15"/>
      <c r="I105" s="23"/>
    </row>
    <row r="106" spans="2:9" s="2" customFormat="1" ht="47.45" customHeight="1">
      <c r="B106" s="60"/>
      <c r="C106" s="15"/>
      <c r="D106" s="15"/>
      <c r="E106" s="24"/>
      <c r="F106" s="15"/>
      <c r="G106" s="15"/>
      <c r="H106" s="15"/>
      <c r="I106" s="23"/>
    </row>
    <row r="107" spans="2:9" s="2" customFormat="1" ht="47.45" customHeight="1">
      <c r="B107" s="60"/>
      <c r="C107" s="15"/>
      <c r="D107" s="15"/>
      <c r="E107" s="24"/>
      <c r="F107" s="15"/>
      <c r="G107" s="15"/>
      <c r="H107" s="15"/>
      <c r="I107" s="23"/>
    </row>
    <row r="108" spans="2:9" s="2" customFormat="1" ht="47.45" customHeight="1">
      <c r="B108" s="60"/>
      <c r="C108" s="15"/>
      <c r="D108" s="15"/>
      <c r="E108" s="24"/>
      <c r="F108" s="15"/>
      <c r="G108" s="15"/>
      <c r="H108" s="15"/>
      <c r="I108" s="23"/>
    </row>
    <row r="109" spans="2:9" s="2" customFormat="1" ht="47.45" customHeight="1">
      <c r="B109" s="60"/>
      <c r="C109" s="15"/>
      <c r="D109" s="15"/>
      <c r="E109" s="24"/>
      <c r="F109" s="15"/>
      <c r="G109" s="15"/>
      <c r="H109" s="15"/>
      <c r="I109" s="23"/>
    </row>
    <row r="110" spans="2:9" s="2" customFormat="1" ht="47.45" customHeight="1">
      <c r="B110" s="60"/>
      <c r="C110" s="15"/>
      <c r="D110" s="15"/>
      <c r="E110" s="24"/>
      <c r="F110" s="15"/>
      <c r="G110" s="15"/>
      <c r="H110" s="15"/>
      <c r="I110" s="23"/>
    </row>
    <row r="111" spans="2:9" s="2" customFormat="1" ht="47.45" customHeight="1">
      <c r="B111" s="60"/>
      <c r="C111" s="15"/>
      <c r="D111" s="15"/>
      <c r="E111" s="24"/>
      <c r="F111" s="15"/>
      <c r="G111" s="15"/>
      <c r="H111" s="15"/>
      <c r="I111" s="23"/>
    </row>
    <row r="112" spans="2:9" s="2" customFormat="1" ht="47.45" customHeight="1">
      <c r="B112" s="61"/>
      <c r="C112" s="16"/>
      <c r="D112" s="16"/>
      <c r="E112" s="25"/>
      <c r="F112" s="16"/>
      <c r="G112" s="16"/>
      <c r="H112" s="16"/>
      <c r="I112" s="26"/>
    </row>
    <row r="113" spans="2:9" s="2" customFormat="1" ht="47.45" customHeight="1">
      <c r="D113" s="5"/>
      <c r="E113" s="62"/>
    </row>
    <row r="114" spans="2:9" ht="75" customHeight="1">
      <c r="B114" s="165" t="s">
        <v>34</v>
      </c>
      <c r="C114" s="158" t="s">
        <v>1</v>
      </c>
      <c r="D114" s="158"/>
      <c r="E114" s="158"/>
      <c r="F114" s="158"/>
      <c r="G114" s="158"/>
      <c r="H114" s="158"/>
      <c r="I114" s="38" t="s">
        <v>2</v>
      </c>
    </row>
    <row r="115" spans="2:9" ht="75" customHeight="1">
      <c r="B115" s="166"/>
      <c r="C115" s="159"/>
      <c r="D115" s="159"/>
      <c r="E115" s="159"/>
      <c r="F115" s="159"/>
      <c r="G115" s="159"/>
      <c r="H115" s="159"/>
      <c r="I115" s="39">
        <v>46231</v>
      </c>
    </row>
    <row r="116" spans="2:9" s="3" customFormat="1" ht="52.5">
      <c r="B116" s="53" t="s">
        <v>3</v>
      </c>
      <c r="C116" s="34" t="s">
        <v>4</v>
      </c>
      <c r="D116" s="35" t="s">
        <v>5</v>
      </c>
      <c r="E116" s="48" t="s">
        <v>6</v>
      </c>
      <c r="F116" s="34" t="s">
        <v>7</v>
      </c>
      <c r="G116" s="34" t="s">
        <v>8</v>
      </c>
      <c r="H116" s="34" t="s">
        <v>9</v>
      </c>
      <c r="I116" s="40" t="s">
        <v>10</v>
      </c>
    </row>
    <row r="117" spans="2:9" s="2" customFormat="1" ht="47.45" customHeight="1">
      <c r="B117" s="54"/>
      <c r="C117" s="14"/>
      <c r="D117" s="17"/>
      <c r="E117" s="18"/>
      <c r="F117" s="31"/>
      <c r="G117" s="8"/>
      <c r="H117" s="8"/>
      <c r="I117" s="47"/>
    </row>
    <row r="118" spans="2:9" s="2" customFormat="1" ht="47.45" customHeight="1">
      <c r="B118" s="58"/>
      <c r="C118" s="14"/>
      <c r="D118" s="19"/>
      <c r="E118" s="20"/>
      <c r="F118" s="21"/>
      <c r="G118" s="15"/>
      <c r="H118" s="15"/>
      <c r="I118" s="23"/>
    </row>
    <row r="119" spans="2:9" s="2" customFormat="1" ht="47.45" customHeight="1">
      <c r="B119" s="54"/>
      <c r="C119" s="14"/>
      <c r="D119" s="14"/>
      <c r="E119" s="22"/>
      <c r="F119" s="21"/>
      <c r="G119" s="15"/>
      <c r="H119" s="15"/>
      <c r="I119" s="23"/>
    </row>
    <row r="120" spans="2:9" s="2" customFormat="1" ht="47.45" customHeight="1">
      <c r="B120" s="54"/>
      <c r="C120" s="14"/>
      <c r="D120" s="14"/>
      <c r="E120" s="22"/>
      <c r="F120" s="21"/>
      <c r="G120" s="15"/>
      <c r="H120" s="15"/>
      <c r="I120" s="23"/>
    </row>
    <row r="121" spans="2:9" s="2" customFormat="1" ht="47.45" customHeight="1">
      <c r="B121" s="54"/>
      <c r="C121" s="14"/>
      <c r="D121" s="14"/>
      <c r="E121" s="22"/>
      <c r="F121" s="21"/>
      <c r="G121" s="15"/>
      <c r="H121" s="15"/>
      <c r="I121" s="23"/>
    </row>
    <row r="122" spans="2:9" s="2" customFormat="1" ht="47.45" customHeight="1">
      <c r="B122" s="59"/>
      <c r="C122" s="14"/>
      <c r="D122" s="15"/>
      <c r="E122" s="22"/>
      <c r="F122" s="21"/>
      <c r="G122" s="15"/>
      <c r="H122" s="15"/>
      <c r="I122" s="23"/>
    </row>
    <row r="123" spans="2:9" s="2" customFormat="1" ht="47.45" customHeight="1">
      <c r="B123" s="59"/>
      <c r="C123" s="15"/>
      <c r="D123" s="14"/>
      <c r="E123" s="22"/>
      <c r="F123" s="21"/>
      <c r="G123" s="15"/>
      <c r="H123" s="15"/>
      <c r="I123" s="23"/>
    </row>
    <row r="124" spans="2:9" s="2" customFormat="1" ht="47.45" customHeight="1">
      <c r="B124" s="59"/>
      <c r="C124" s="15"/>
      <c r="D124" s="15"/>
      <c r="E124" s="24"/>
      <c r="F124" s="21"/>
      <c r="G124" s="15"/>
      <c r="H124" s="15"/>
      <c r="I124" s="23"/>
    </row>
    <row r="125" spans="2:9" s="2" customFormat="1" ht="47.45" customHeight="1">
      <c r="B125" s="59"/>
      <c r="C125" s="15"/>
      <c r="D125" s="14"/>
      <c r="E125" s="22"/>
      <c r="F125" s="21"/>
      <c r="G125" s="15"/>
      <c r="H125" s="15"/>
      <c r="I125" s="23"/>
    </row>
    <row r="126" spans="2:9" s="2" customFormat="1" ht="47.45" customHeight="1">
      <c r="B126" s="60"/>
      <c r="C126" s="15"/>
      <c r="D126" s="14"/>
      <c r="E126" s="22"/>
      <c r="F126" s="21"/>
      <c r="G126" s="15"/>
      <c r="H126" s="15"/>
      <c r="I126" s="23"/>
    </row>
    <row r="127" spans="2:9" s="2" customFormat="1" ht="47.45" customHeight="1">
      <c r="B127" s="59"/>
      <c r="C127" s="15"/>
      <c r="D127" s="15"/>
      <c r="E127" s="24"/>
      <c r="F127" s="15"/>
      <c r="G127" s="15"/>
      <c r="H127" s="15"/>
      <c r="I127" s="23"/>
    </row>
    <row r="128" spans="2:9" s="2" customFormat="1" ht="47.45" customHeight="1">
      <c r="B128" s="60"/>
      <c r="C128" s="15"/>
      <c r="D128" s="15"/>
      <c r="E128" s="24"/>
      <c r="F128" s="15"/>
      <c r="G128" s="15"/>
      <c r="H128" s="15"/>
      <c r="I128" s="23"/>
    </row>
    <row r="129" spans="2:9" s="2" customFormat="1" ht="47.45" customHeight="1">
      <c r="B129" s="60"/>
      <c r="C129" s="15"/>
      <c r="D129" s="15"/>
      <c r="E129" s="24"/>
      <c r="F129" s="15"/>
      <c r="G129" s="15"/>
      <c r="H129" s="15"/>
      <c r="I129" s="23"/>
    </row>
    <row r="130" spans="2:9" s="2" customFormat="1" ht="47.45" customHeight="1">
      <c r="B130" s="60"/>
      <c r="C130" s="15"/>
      <c r="D130" s="15"/>
      <c r="E130" s="24"/>
      <c r="F130" s="15"/>
      <c r="G130" s="15"/>
      <c r="H130" s="15"/>
      <c r="I130" s="23"/>
    </row>
    <row r="131" spans="2:9" s="2" customFormat="1" ht="47.45" customHeight="1">
      <c r="B131" s="60"/>
      <c r="C131" s="15"/>
      <c r="D131" s="15"/>
      <c r="E131" s="24"/>
      <c r="F131" s="15"/>
      <c r="G131" s="15"/>
      <c r="H131" s="15"/>
      <c r="I131" s="23"/>
    </row>
    <row r="132" spans="2:9" s="2" customFormat="1" ht="47.45" customHeight="1">
      <c r="B132" s="60"/>
      <c r="C132" s="15"/>
      <c r="D132" s="15"/>
      <c r="E132" s="24"/>
      <c r="F132" s="15"/>
      <c r="G132" s="15"/>
      <c r="H132" s="15"/>
      <c r="I132" s="23"/>
    </row>
    <row r="133" spans="2:9" s="2" customFormat="1" ht="47.45" customHeight="1">
      <c r="B133" s="60"/>
      <c r="C133" s="15"/>
      <c r="D133" s="15"/>
      <c r="E133" s="24"/>
      <c r="F133" s="15"/>
      <c r="G133" s="15"/>
      <c r="H133" s="15"/>
      <c r="I133" s="23"/>
    </row>
    <row r="134" spans="2:9" s="2" customFormat="1" ht="47.45" customHeight="1">
      <c r="B134" s="60"/>
      <c r="C134" s="15"/>
      <c r="D134" s="15"/>
      <c r="E134" s="24"/>
      <c r="F134" s="15"/>
      <c r="G134" s="15"/>
      <c r="H134" s="15"/>
      <c r="I134" s="23"/>
    </row>
    <row r="135" spans="2:9" s="2" customFormat="1" ht="47.45" customHeight="1">
      <c r="B135" s="63"/>
      <c r="C135" s="57"/>
      <c r="D135" s="16"/>
      <c r="E135" s="64"/>
      <c r="F135" s="57"/>
      <c r="G135" s="57"/>
      <c r="H135" s="57"/>
      <c r="I135" s="52"/>
    </row>
    <row r="136" spans="2:9">
      <c r="B136" s="2"/>
    </row>
  </sheetData>
  <dataConsolidate/>
  <mergeCells count="12">
    <mergeCell ref="C92:H93"/>
    <mergeCell ref="C114:H115"/>
    <mergeCell ref="B2:B3"/>
    <mergeCell ref="C2:H3"/>
    <mergeCell ref="C70:H71"/>
    <mergeCell ref="B24:B25"/>
    <mergeCell ref="C24:H25"/>
    <mergeCell ref="B70:B71"/>
    <mergeCell ref="B92:B93"/>
    <mergeCell ref="B114:B115"/>
    <mergeCell ref="B48:B49"/>
    <mergeCell ref="C48:H49"/>
  </mergeCells>
  <dataValidations count="2">
    <dataValidation type="list" allowBlank="1" showInputMessage="1" showErrorMessage="1" sqref="C101:C113 C79:C91 C123:C135" xr:uid="{00000000-0002-0000-0000-000000000000}">
      <formula1>"NOTA,MARIA,JOSE,VICTOR,RECIBO"</formula1>
    </dataValidation>
    <dataValidation type="list" allowBlank="1" showInputMessage="1" showErrorMessage="1" sqref="H95:H113 H117:H135 H73:H91 H51:H68 H47 H5:H23 H27:H45" xr:uid="{00000000-0002-0000-0000-000001000000}">
      <formula1>"FIRMO,EFECTIVO, TRANSFERENCIA,CHEQUE"</formula1>
    </dataValidation>
  </dataValidations>
  <pageMargins left="0.25" right="0.25" top="0.75" bottom="0.75" header="0.3" footer="0.3"/>
  <pageSetup paperSize="522" scale="41" orientation="landscape" r:id="rId1"/>
  <rowBreaks count="2" manualBreakCount="2">
    <brk id="23" min="1" max="8" man="1"/>
    <brk id="69" min="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"/>
  <sheetViews>
    <sheetView workbookViewId="0">
      <selection activeCell="B2" sqref="B2"/>
    </sheetView>
  </sheetViews>
  <sheetFormatPr baseColWidth="10"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Carlos Contreras</cp:lastModifiedBy>
  <cp:revision/>
  <cp:lastPrinted>2026-09-30T01:10:20Z</cp:lastPrinted>
  <dcterms:created xsi:type="dcterms:W3CDTF">2025-09-17T19:20:07Z</dcterms:created>
  <dcterms:modified xsi:type="dcterms:W3CDTF">2026-09-30T04:25:47Z</dcterms:modified>
  <cp:category/>
  <cp:contentStatus/>
</cp:coreProperties>
</file>